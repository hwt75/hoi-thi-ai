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claude\hoi-thi-AI-cong-vu\"/>
    </mc:Choice>
  </mc:AlternateContent>
  <xr:revisionPtr revIDLastSave="0" documentId="13_ncr:1_{A48B35B3-38FE-40A9-B679-A05B0F59C8C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ướng dẫn" sheetId="1" r:id="rId1"/>
    <sheet name="Dữ liệu" sheetId="2" r:id="rId2"/>
    <sheet name="KPI" sheetId="3" r:id="rId3"/>
    <sheet name="So sánh phương án" sheetId="4" r:id="rId4"/>
    <sheet name="Kịch bản" sheetId="5" r:id="rId5"/>
    <sheet name="Dashboard" sheetId="6" r:id="rId6"/>
    <sheet name="Ý nghĩa quản trị" sheetId="7" r:id="rId7"/>
  </sheets>
  <calcPr calcId="181029"/>
</workbook>
</file>

<file path=xl/calcChain.xml><?xml version="1.0" encoding="utf-8"?>
<calcChain xmlns="http://schemas.openxmlformats.org/spreadsheetml/2006/main">
  <c r="A10" i="7" l="1"/>
  <c r="A9" i="7"/>
  <c r="A8" i="7"/>
  <c r="A7" i="7"/>
  <c r="A6" i="7"/>
  <c r="A5" i="7"/>
  <c r="G11" i="4"/>
  <c r="K7" i="4" s="1"/>
  <c r="E11" i="4"/>
  <c r="K6" i="4" s="1"/>
  <c r="E12" i="4" s="1"/>
  <c r="C11" i="4"/>
  <c r="K5" i="4" s="1"/>
  <c r="C12" i="4" s="1"/>
  <c r="B10" i="4"/>
  <c r="B13" i="4" s="1"/>
  <c r="D8" i="3"/>
  <c r="D7" i="3"/>
  <c r="D6" i="3"/>
  <c r="H17" i="2"/>
  <c r="G17" i="2"/>
  <c r="F17" i="2"/>
  <c r="E17" i="2"/>
  <c r="D17" i="2"/>
  <c r="C6" i="3" s="1"/>
  <c r="C17" i="2"/>
  <c r="B17" i="2"/>
  <c r="C8" i="3" s="1"/>
  <c r="L16" i="2"/>
  <c r="D10" i="3" s="1"/>
  <c r="K16" i="2"/>
  <c r="D9" i="3" s="1"/>
  <c r="J16" i="2"/>
  <c r="I16" i="2"/>
  <c r="D5" i="3" s="1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G12" i="4" l="1"/>
  <c r="B8" i="7"/>
  <c r="G5" i="6"/>
  <c r="H8" i="3"/>
  <c r="H6" i="3"/>
  <c r="C5" i="6"/>
  <c r="B7" i="5"/>
  <c r="B6" i="7"/>
  <c r="I17" i="2"/>
  <c r="C5" i="3" s="1"/>
  <c r="J17" i="2"/>
  <c r="C7" i="3" s="1"/>
  <c r="K17" i="2"/>
  <c r="C9" i="3" s="1"/>
  <c r="L17" i="2"/>
  <c r="C10" i="3" s="1"/>
  <c r="B9" i="7" l="1"/>
  <c r="I5" i="6"/>
  <c r="B9" i="5"/>
  <c r="H9" i="3"/>
  <c r="B10" i="7"/>
  <c r="K5" i="6"/>
  <c r="H10" i="3"/>
  <c r="D13" i="5"/>
  <c r="C13" i="5"/>
  <c r="B13" i="5"/>
  <c r="H13" i="5"/>
  <c r="G13" i="5"/>
  <c r="F13" i="5"/>
  <c r="E13" i="5"/>
  <c r="B5" i="7"/>
  <c r="H5" i="3"/>
  <c r="A5" i="6"/>
  <c r="B6" i="5"/>
  <c r="C6" i="6"/>
  <c r="C6" i="7"/>
  <c r="B7" i="7"/>
  <c r="E5" i="6"/>
  <c r="B8" i="5"/>
  <c r="H7" i="3"/>
  <c r="G6" i="6"/>
  <c r="C8" i="7"/>
  <c r="C9" i="7" l="1"/>
  <c r="I6" i="6"/>
  <c r="F15" i="5"/>
  <c r="D15" i="5"/>
  <c r="E15" i="5"/>
  <c r="C15" i="5"/>
  <c r="B15" i="5"/>
  <c r="H15" i="5"/>
  <c r="G15" i="5"/>
  <c r="A6" i="6"/>
  <c r="C5" i="7"/>
  <c r="C10" i="7"/>
  <c r="K6" i="6"/>
  <c r="H12" i="5"/>
  <c r="G12" i="5"/>
  <c r="F12" i="5"/>
  <c r="E12" i="5"/>
  <c r="D12" i="5"/>
  <c r="C12" i="5"/>
  <c r="B12" i="5"/>
  <c r="E6" i="6"/>
  <c r="C7" i="7"/>
  <c r="H14" i="5"/>
  <c r="G14" i="5"/>
  <c r="F14" i="5"/>
  <c r="E14" i="5"/>
  <c r="D14" i="5"/>
  <c r="C14" i="5"/>
  <c r="B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Mẫu</author>
  </authors>
  <commentList>
    <comment ref="D1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Trung bình có trọng số theo số hồ sơ, không phải trung bình cộng đơn giản.</t>
        </r>
      </text>
    </comment>
  </commentList>
</comments>
</file>

<file path=xl/sharedStrings.xml><?xml version="1.0" encoding="utf-8"?>
<sst xmlns="http://schemas.openxmlformats.org/spreadsheetml/2006/main" count="188" uniqueCount="170">
  <si>
    <t>MẪU DASHBOARD — Hội thi AI · Trợ lý công vụ 2026</t>
  </si>
  <si>
    <t>Thay dữ liệu ở sheet 'Dữ liệu' và các ô màu xanh/nền vàng; mọi ô khác là công thức, tự tính lại.</t>
  </si>
  <si>
    <t>Quy ước màu</t>
  </si>
  <si>
    <t>Chữ xanh</t>
  </si>
  <si>
    <t>Số nhập tay (dữ liệu, mục tiêu, trọng số, điểm). Được sửa.</t>
  </si>
  <si>
    <t>Chữ đen</t>
  </si>
  <si>
    <t>Công thức. Không sửa, trừ khi đổi cấu trúc.</t>
  </si>
  <si>
    <t>Nền vàng</t>
  </si>
  <si>
    <t>Giả định then chốt / ô bắt buộc điền theo đề.</t>
  </si>
  <si>
    <t>Thứ tự dùng trong phòng thi</t>
  </si>
  <si>
    <t>1</t>
  </si>
  <si>
    <t>Sheet 'Dữ liệu': dán CSV từ prompt P6 (hoặc dữ liệu đề cho) vào A5:H16. Ghi nguồn vào ô A3.</t>
  </si>
  <si>
    <t>2</t>
  </si>
  <si>
    <t>Sheet 'KPI': kiểm 6 chỉ số hiện trạng đã tự tính; điền Mục tiêu và Ngưỡng cảnh báo (chữ xanh).</t>
  </si>
  <si>
    <t>3</t>
  </si>
  <si>
    <t>Sheet 'So sánh phương án': điền trọng số (tổng phải = 100%) và điểm 1–5 từ prompt P3; tổng có trọng số tự tính.</t>
  </si>
  <si>
    <t>4</t>
  </si>
  <si>
    <t>Sheet 'Kịch bản': điền % thay đổi cho 3 kịch bản (chữ xanh); giá trị dự kiến tự tính từ hiện trạng.</t>
  </si>
  <si>
    <t>5</t>
  </si>
  <si>
    <t>Sheet 'Dashboard': biểu đồ tự cập nhật. Đổi tiêu đề biểu đồ thành câu kết luận (ví dụ: 'Thời gian xử lý tăng 40% trong 6 tháng cuối').</t>
  </si>
  <si>
    <t>6</t>
  </si>
  <si>
    <t>Sheet 'Ý nghĩa quản trị': dán 3 câu/chỉ số từ prompt P7. Đây là phần giám khảo đọc kỹ nhất.</t>
  </si>
  <si>
    <t>Nguồn số liệu mẫu</t>
  </si>
  <si>
    <t>Toàn bộ số trong file là [GIẢ ĐỊNH] để minh hoạ cấu trúc, không phải số thật của đơn vị nào.</t>
  </si>
  <si>
    <t>DỮ LIỆU THÔ — 12 tháng gần nhất</t>
  </si>
  <si>
    <t>Nguồn: [GIẢ ĐỊNH] số liệu mô phỏng để minh hoạ. Khi thi: ghi 'Nguồn: đề bài' hoặc 'Nguồn: hệ thống … xuất ngày …'.</t>
  </si>
  <si>
    <t>Tháng</t>
  </si>
  <si>
    <t>Hồ sơ tiếp nhận</t>
  </si>
  <si>
    <t>Xử lý đúng hạn</t>
  </si>
  <si>
    <t>Thời gian xử lý TB (ngày)</t>
  </si>
  <si>
    <t>Lỗi / trả lại</t>
  </si>
  <si>
    <t>Khiếu nại</t>
  </si>
  <si>
    <t>Giờ công cán bộ</t>
  </si>
  <si>
    <t>Chi phí (triệu đồng)</t>
  </si>
  <si>
    <t>Tỷ lệ đúng hạn</t>
  </si>
  <si>
    <t>Tỷ lệ lỗi</t>
  </si>
  <si>
    <t>Giờ công / hồ sơ</t>
  </si>
  <si>
    <t>Chi phí / hồ sơ (triệu)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</si>
  <si>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</si>
  <si>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</si>
  <si>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</si>
  <si>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</si>
  <si>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</si>
  <si>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</si>
  <si>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</si>
  <si>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</si>
  <si>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</si>
  <si>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</si>
  <si>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</si>
  <si>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</si>
  <si>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Tổng / TB</t>
  </si>
  <si>
    <t>CHỈ SỐ THEN CHỐT (KPI)</t>
  </si>
  <si>
    <t>Hiện trạng tính từ sheet 'Dữ liệu'. Mục tiêu và ngưỡng: điền theo đề (chữ xanh). Trạng thái tự đánh giá.</t>
  </si>
  <si>
    <t>Chỉ số</t>
  </si>
  <si>
    <t>Cách tính</t>
  </si>
  <si>
    <t>Hiện trạng (12 tháng)</t>
  </si>
  <si>
    <t>Tháng gần nhất</t>
  </si>
  <si>
    <t>Mục tiêu 12 tháng</t>
  </si>
  <si>
    <t>Ngưỡng cảnh báo</t>
  </si>
  <si>
    <t>Chiều tốt</t>
  </si>
  <si>
    <t>Trạng thái hiện tại</t>
  </si>
  <si>
    <t>Đơn vị</t>
  </si>
  <si>
    <t>Tỷ lệ hồ sơ xử lý đúng hạn</t>
  </si>
  <si>
    <t>Σ đúng hạn / Σ tiếp nhận</t>
  </si>
  <si>
    <t>Tăng</t>
  </si>
  <si>
    <t>%</t>
  </si>
  <si>
    <t>Thời gian xử lý trung bình</t>
  </si>
  <si>
    <t>TB có trọng số theo hồ sơ</t>
  </si>
  <si>
    <t>Giảm</t>
  </si>
  <si>
    <t>ngày</t>
  </si>
  <si>
    <t>Tỷ lệ hồ sơ lỗi / trả lại</t>
  </si>
  <si>
    <t>Σ lỗi / Σ tiếp nhận</t>
  </si>
  <si>
    <t>Khiếu nại trên 1.000 hồ sơ</t>
  </si>
  <si>
    <t>Σ khiếu nại / Σ tiếp nhận × 1000</t>
  </si>
  <si>
    <t>vụ/1000</t>
  </si>
  <si>
    <t>Giờ công cán bộ trên 1 hồ sơ</t>
  </si>
  <si>
    <t>Σ giờ công / Σ tiếp nhận</t>
  </si>
  <si>
    <t>giờ</t>
  </si>
  <si>
    <t>Chi phí xử lý 1 hồ sơ</t>
  </si>
  <si>
    <t>Σ chi phí / Σ tiếp nhận</t>
  </si>
  <si>
    <t>triệu đ</t>
  </si>
  <si>
    <t>Ghi chú: 'Chiều tốt' = Tăng nghĩa là chỉ số càng cao càng tốt. Trạng thái: Đạt mục tiêu / Chưa đạt / CẢNH BÁO (vượt ngưỡng).</t>
  </si>
  <si>
    <t>SO SÁNH 3 PHƯƠNG ÁN — điểm có trọng số</t>
  </si>
  <si>
    <t>Điền trọng số (tổng 100%) và điểm 1–5 (chữ xanh). Tổng tự tính bằng SUMPRODUCT.</t>
  </si>
  <si>
    <t>Tiêu chí</t>
  </si>
  <si>
    <t>Trọng số</t>
  </si>
  <si>
    <t>PA1 Cải tiến tối thiểu</t>
  </si>
  <si>
    <t>Lý do PA1</t>
  </si>
  <si>
    <t>PA2 Tái thiết kế quy trình</t>
  </si>
  <si>
    <t>Lý do PA2</t>
  </si>
  <si>
    <t>PA3 Chuyển đổi toàn diện</t>
  </si>
  <si>
    <t>Lý do PA3</t>
  </si>
  <si>
    <t>Phương án</t>
  </si>
  <si>
    <t>Điểm</t>
  </si>
  <si>
    <t>Hiệu quả (giảm thời gian, lỗi)</t>
  </si>
  <si>
    <t>Chỉ hỗ trợ soạn thảo, quy trình giữ nguyên</t>
  </si>
  <si>
    <t>Bỏ 2 bước trùng, AI phân loại đầu vào</t>
  </si>
  <si>
    <t>Liên thông dữ liệu, bỏ nhập lại</t>
  </si>
  <si>
    <t>PA1</t>
  </si>
  <si>
    <t>Chi phí đầu tư và vận hành</t>
  </si>
  <si>
    <t>Dùng công cụ sẵn có</t>
  </si>
  <si>
    <t>Cần chỉnh hệ thống nội bộ</t>
  </si>
  <si>
    <t>Đầu tư hạ tầng, tích hợp nhiều bên</t>
  </si>
  <si>
    <t>PA2</t>
  </si>
  <si>
    <t>Khả thi pháp lý</t>
  </si>
  <si>
    <t>Không đụng quy định</t>
  </si>
  <si>
    <t>Sửa quy định nội bộ, trong thẩm quyền</t>
  </si>
  <si>
    <t>Cần thoả thuận chia sẻ dữ liệu liên ngành</t>
  </si>
  <si>
    <t>PA3</t>
  </si>
  <si>
    <t>Rủi ro (dữ liệu, vận hành)</t>
  </si>
  <si>
    <t>Rủi ro thấp, dữ liệu không rời đơn vị</t>
  </si>
  <si>
    <t>Cần kiểm soát đầu ra AI</t>
  </si>
  <si>
    <t>Nhiều điểm tích hợp, phụ thuộc đối tác</t>
  </si>
  <si>
    <t>Thời gian triển khai</t>
  </si>
  <si>
    <t>1–2 tháng</t>
  </si>
  <si>
    <t>4–6 tháng</t>
  </si>
  <si>
    <t>12 tháng trở lên</t>
  </si>
  <si>
    <t>Tổng trọng số (phải = 100%)</t>
  </si>
  <si>
    <t>ĐIỂM TỔNG CÓ TRỌNG SỐ (thang 5)</t>
  </si>
  <si>
    <t>Xếp hạng</t>
  </si>
  <si>
    <t>Kiểm tra trọng số</t>
  </si>
  <si>
    <t>Điều kiện để lựa chọn đúng (điền tay):</t>
  </si>
  <si>
    <t>1. ……… (ví dụ: đơn vị có ngân sách ≥ … trong năm nay)</t>
  </si>
  <si>
    <t>2. ……… (ví dụ: pháp chế xác nhận sửa quy định nội bộ trong thẩm quyền Tổng Giám đốc)</t>
  </si>
  <si>
    <t>Nếu điều kiện không thoả → rơi về PA…</t>
  </si>
  <si>
    <t>ƯỚC TÍNH HIỆU QUẢ — 3 KỊCH BẢN cho phương án đề xuất</t>
  </si>
  <si>
    <t>Điền % thay đổi (chữ xanh, âm = giảm). Giá trị dự kiến = hiện trạng × (1 + %). Tờ trình dùng kịch bản Cơ sở.</t>
  </si>
  <si>
    <t>Hiện trạng</t>
  </si>
  <si>
    <t>Thận trọng 6T</t>
  </si>
  <si>
    <t>Thận trọng 12T</t>
  </si>
  <si>
    <t>Cơ sở 6T</t>
  </si>
  <si>
    <t>Cơ sở 12T</t>
  </si>
  <si>
    <t>Lạc quan 6T</t>
  </si>
  <si>
    <t>Lạc quan 12T</t>
  </si>
  <si>
    <t>% thay đổi (điền)</t>
  </si>
  <si>
    <t>GIÁ TRỊ DỰ KIẾN (tự tính)</t>
  </si>
  <si>
    <t>Ghi chú: các % là [GIẢ ĐỊNH]; căn cứ nêu trong tờ trình (ví dụ: kết quả thí điểm đơn vị khác, ước tính của phòng nghiệp vụ).</t>
  </si>
  <si>
    <t>DASHBOARD ĐIỀU HÀNH</t>
  </si>
  <si>
    <t>Ô số lấy từ sheet KPI; biểu đồ lấy từ sheet Dữ liệu. Đổi tiêu đề biểu đồ thành câu kết luận trước khi nộp.</t>
  </si>
  <si>
    <t>TG xử lý TB (ngày)</t>
  </si>
  <si>
    <t>Khiếu nại/1000 HS</t>
  </si>
  <si>
    <t>Giờ công/HS</t>
  </si>
  <si>
    <t>Chi phí/HS (tr.đ)</t>
  </si>
  <si>
    <t>Thông điệp cho lãnh đạo (5 câu, từ prompt P7):</t>
  </si>
  <si>
    <t>……</t>
  </si>
  <si>
    <t>Ý NGHĨA QUẢN TRỊ CỦA TỪNG CHỈ SỐ</t>
  </si>
  <si>
    <t>Mỗi chỉ số 3 câu: nói lên gì · lãnh đạo quyết gì khi vượt ngưỡng · ai theo dõi, tần suất. Dán từ prompt P7.</t>
  </si>
  <si>
    <t>Giá trị hiện tại</t>
  </si>
  <si>
    <t>Trạng thái</t>
  </si>
  <si>
    <t>Chỉ số này nói lên điều gì</t>
  </si>
  <si>
    <t>Vượt/dưới ngưỡng thì lãnh đạo quyết định gì</t>
  </si>
  <si>
    <t>Ai theo dõi · tần suất</t>
  </si>
  <si>
    <t>Tỷ lệ hồ sơ đúng hạn dưới 80% cho thấy năng lực xử lý không theo kịp lượng tiếp nhận, đặc biệt các tháng cao điểm.</t>
  </si>
  <si>
    <t>Dưới ngưỡng 85%: điều động nhân sự tăng cường, xem xét cắt bước trùng lặp; cân nhắc thí điểm AI phân loại đầu vào.</t>
  </si>
  <si>
    <t>Trưởng phòng nghiệp vụ · hằng tuần</t>
  </si>
  <si>
    <t>Thời gian xử lý tăng từ 4,2 lên 6,0 ngày cho thấy tắc nghẽn ở khâu kiểm tra, không phải ở khâu tiếp nhận.</t>
  </si>
  <si>
    <t>Vượt 5 ngày: yêu cầu báo cáo điểm nghẽn theo bước; phê duyệt phương án tái thiết kế quy trình.</t>
  </si>
  <si>
    <t>Tỷ lệ lỗi/trả lại 9% cho thấy hướng dẫn cho khách hàng và kiểm tra đầu vào chưa đủ rõ.</t>
  </si>
  <si>
    <t>Vượt 8%: rà soát biểu mẫu, bổ sung kiểm tra tự động trước khi tiếp nhận.</t>
  </si>
  <si>
    <t>Bộ phận kiểm soát nội bộ · hằng tháng</t>
  </si>
  <si>
    <t>Khiếu nại tăng cùng chiều với thời gian xử lý: khách hàng phản ứng với sự chậm trễ hơn là với kết quả.</t>
  </si>
  <si>
    <t>Vượt 12/1000: mở kênh thông báo tiến độ tự động cho khách hàng; báo cáo Ban Giám đốc.</t>
  </si>
  <si>
    <t>Bộ phận chăm sóc khách hàng · hằng tháng</t>
  </si>
  <si>
    <t>Gần 2 giờ công cho một hồ sơ, phần lớn ở nhập liệu và đối chiếu thủ công.</t>
  </si>
  <si>
    <t>Vượt 2 giờ: ưu tiên tự động hoá nhập liệu; đánh giá lại định biên.</t>
  </si>
  <si>
    <t>Phòng Tổ chức · hằng quý</t>
  </si>
  <si>
    <t>Chi phí xử lý một hồ sơ tăng theo giờ công; cho thấy tăng nhân sự không phải lời giải bền vững.</t>
  </si>
  <si>
    <t>Vượt 0,15 triệu: phê duyệt đầu tư công cụ thay vì tăng biên chế.</t>
  </si>
  <si>
    <t>Phòng Kế hoạch tài chính · hằng quý</t>
  </si>
  <si>
    <t>Các câu trên là ví dụ theo số liệu mẫu [GIẢ ĐỊNH]; khi thi thay bằng nội dung từ prompt P7 khớp với số thật.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</si>
</sst>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0.000"/>
    <numFmt numFmtId="167" formatCode="\+0%;\-0%"/>
  </numFmts>
  <fonts count="12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1"/>
      <color rgb="FF7F7F7F"/>
      <name val="Arial"/>
    </font>
    <font>
      <b/>
      <sz val="11"/>
      <name val="Arial"/>
    </font>
    <font>
      <sz val="11"/>
      <name val="Arial"/>
    </font>
    <font>
      <sz val="11"/>
      <color rgb="FF0000FF"/>
      <name val="Arial"/>
    </font>
    <font>
      <i/>
      <sz val="11"/>
      <color rgb="FFC00000"/>
      <name val="Arial"/>
    </font>
    <font>
      <b/>
      <sz val="11"/>
      <color rgb="FFFFFFFF"/>
      <name val="Arial"/>
    </font>
    <font>
      <b/>
      <sz val="11"/>
      <color rgb="FFC00000"/>
      <name val="Arial"/>
    </font>
    <font>
      <b/>
      <sz val="18"/>
      <name val="Arial"/>
    </font>
    <font>
      <i/>
      <sz val="9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  <xf numFmtId="0" fontId="3" fillId="2" borderId="0" xfId="0" applyFont="1" applyFill="1"/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5" fontId="5" fillId="2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6" fontId="5" fillId="2" borderId="1" xfId="0" applyNumberFormat="1" applyFont="1" applyFill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11" fillId="0" borderId="0" xfId="0" applyFont="1"/>
    <xf numFmtId="2" fontId="11" fillId="0" borderId="0" xfId="0" applyNumberFormat="1" applyFont="1"/>
    <xf numFmtId="9" fontId="3" fillId="0" borderId="0" xfId="0" applyNumberFormat="1" applyFont="1"/>
    <xf numFmtId="0" fontId="3" fillId="4" borderId="0" xfId="0" applyFont="1" applyFill="1"/>
    <xf numFmtId="2" fontId="3" fillId="4" borderId="1" xfId="0" applyNumberFormat="1" applyFont="1" applyFill="1" applyBorder="1"/>
    <xf numFmtId="0" fontId="11" fillId="0" borderId="1" xfId="0" applyFont="1" applyBorder="1"/>
    <xf numFmtId="0" fontId="8" fillId="0" borderId="0" xfId="0" applyFont="1"/>
    <xf numFmtId="0" fontId="11" fillId="2" borderId="0" xfId="0" applyFont="1" applyFill="1"/>
    <xf numFmtId="165" fontId="11" fillId="0" borderId="1" xfId="0" applyNumberFormat="1" applyFont="1" applyBorder="1"/>
    <xf numFmtId="167" fontId="5" fillId="0" borderId="1" xfId="0" applyNumberFormat="1" applyFont="1" applyBorder="1"/>
    <xf numFmtId="164" fontId="11" fillId="0" borderId="1" xfId="0" applyNumberFormat="1" applyFont="1" applyBorder="1"/>
    <xf numFmtId="2" fontId="11" fillId="0" borderId="1" xfId="0" applyNumberFormat="1" applyFont="1" applyBorder="1"/>
    <xf numFmtId="0" fontId="10" fillId="0" borderId="1" xfId="0" applyFont="1" applyBorder="1" applyAlignment="1">
      <alignment horizontal="center" vertical="center" wrapText="1"/>
    </xf>
    <xf numFmtId="0" fontId="0" fillId="0" borderId="1" xfId="0" applyBorder="1"/>
    <xf numFmtId="164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1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Thời gian xử lý TB tăng liên tục từ tháng 02/2026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'Dữ liệu'!$D$4</c:f>
              <c:strCache>
                <c:ptCount val="1"/>
                <c:pt idx="0">
                  <c:v>Thời gian xử lý TB (ngày)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'Dữ liệu'!$A$5:$A$16</c:f>
              <c:strCache>
                <c:ptCount val="12"/>
                <c:pt idx="0">
                  <c:v>09/2025</c:v>
                </c:pt>
                <c:pt idx="1">
                  <c:v>10/2025</c:v>
                </c:pt>
                <c:pt idx="2">
                  <c:v>11/2025</c:v>
                </c:pt>
                <c:pt idx="3">
                  <c:v>12/2025</c:v>
                </c:pt>
                <c:pt idx="4">
                  <c:v>01/2026</c:v>
                </c:pt>
                <c:pt idx="5">
                  <c:v>02/2026</c:v>
                </c:pt>
                <c:pt idx="6">
                  <c:v>03/2026</c:v>
                </c:pt>
                <c:pt idx="7">
                  <c:v>04/2026</c:v>
                </c:pt>
                <c:pt idx="8">
                  <c:v>05/2026</c:v>
                </c:pt>
                <c:pt idx="9">
                  <c:v>06/2026</c:v>
                </c:pt>
                <c:pt idx="10">
                  <c:v>07/2026</c:v>
                </c:pt>
                <c:pt idx="11">
                  <c:v>08/2026</c:v>
                </c:pt>
              </c:strCache>
            </c:strRef>
          </c:cat>
          <c:val>
            <c:numRef>
              <c:f>'Dữ liệu'!$D$5:$D$16</c:f>
              <c:numCache>
                <c:formatCode>0.0</c:formatCode>
                <c:ptCount val="12"/>
                <c:pt idx="0">
                  <c:v>4.2</c:v>
                </c:pt>
                <c:pt idx="1">
                  <c:v>4.4000000000000004</c:v>
                </c:pt>
                <c:pt idx="2">
                  <c:v>4.7</c:v>
                </c:pt>
                <c:pt idx="3">
                  <c:v>5.3</c:v>
                </c:pt>
                <c:pt idx="4">
                  <c:v>5.8</c:v>
                </c:pt>
                <c:pt idx="5">
                  <c:v>4.0999999999999996</c:v>
                </c:pt>
                <c:pt idx="6">
                  <c:v>4.5999999999999996</c:v>
                </c:pt>
                <c:pt idx="7">
                  <c:v>4.8</c:v>
                </c:pt>
                <c:pt idx="8">
                  <c:v>5</c:v>
                </c:pt>
                <c:pt idx="9">
                  <c:v>5.4</c:v>
                </c:pt>
                <c:pt idx="10">
                  <c:v>5.7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3C-42D8-9F71-C65AC9554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ngày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Hồ sơ tiếp nhận tăng, số xử lý đúng hạn không theo kịp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'Dữ liệu'!$B$4</c:f>
              <c:strCache>
                <c:ptCount val="1"/>
                <c:pt idx="0">
                  <c:v>Hồ sơ tiếp nhận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'Dữ liệu'!$A$5:$A$16</c:f>
              <c:strCache>
                <c:ptCount val="12"/>
                <c:pt idx="0">
                  <c:v>09/2025</c:v>
                </c:pt>
                <c:pt idx="1">
                  <c:v>10/2025</c:v>
                </c:pt>
                <c:pt idx="2">
                  <c:v>11/2025</c:v>
                </c:pt>
                <c:pt idx="3">
                  <c:v>12/2025</c:v>
                </c:pt>
                <c:pt idx="4">
                  <c:v>01/2026</c:v>
                </c:pt>
                <c:pt idx="5">
                  <c:v>02/2026</c:v>
                </c:pt>
                <c:pt idx="6">
                  <c:v>03/2026</c:v>
                </c:pt>
                <c:pt idx="7">
                  <c:v>04/2026</c:v>
                </c:pt>
                <c:pt idx="8">
                  <c:v>05/2026</c:v>
                </c:pt>
                <c:pt idx="9">
                  <c:v>06/2026</c:v>
                </c:pt>
                <c:pt idx="10">
                  <c:v>07/2026</c:v>
                </c:pt>
                <c:pt idx="11">
                  <c:v>08/2026</c:v>
                </c:pt>
              </c:strCache>
            </c:strRef>
          </c:cat>
          <c:val>
            <c:numRef>
              <c:f>'Dữ liệu'!$B$5:$B$16</c:f>
              <c:numCache>
                <c:formatCode>#,##0</c:formatCode>
                <c:ptCount val="12"/>
                <c:pt idx="0">
                  <c:v>1180</c:v>
                </c:pt>
                <c:pt idx="1">
                  <c:v>1240</c:v>
                </c:pt>
                <c:pt idx="2">
                  <c:v>1310</c:v>
                </c:pt>
                <c:pt idx="3">
                  <c:v>1520</c:v>
                </c:pt>
                <c:pt idx="4">
                  <c:v>1610</c:v>
                </c:pt>
                <c:pt idx="5">
                  <c:v>980</c:v>
                </c:pt>
                <c:pt idx="6">
                  <c:v>1350</c:v>
                </c:pt>
                <c:pt idx="7">
                  <c:v>1390</c:v>
                </c:pt>
                <c:pt idx="8">
                  <c:v>1420</c:v>
                </c:pt>
                <c:pt idx="9">
                  <c:v>1480</c:v>
                </c:pt>
                <c:pt idx="10">
                  <c:v>1530</c:v>
                </c:pt>
                <c:pt idx="11">
                  <c:v>1570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7-4392-A3C2-1377254BEBA9}"/>
            </c:ext>
          </c:extLst>
        </c:ser>
        <c:ser>
          <c:idx val="1"/>
          <c:order val="1"/>
          <c:tx>
            <c:strRef>
              <c:f>'Dữ liệu'!$C$4</c:f>
              <c:strCache>
                <c:ptCount val="1"/>
                <c:pt idx="0">
                  <c:v>Xử lý đúng hạn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'Dữ liệu'!$A$5:$A$16</c:f>
              <c:strCache>
                <c:ptCount val="12"/>
                <c:pt idx="0">
                  <c:v>09/2025</c:v>
                </c:pt>
                <c:pt idx="1">
                  <c:v>10/2025</c:v>
                </c:pt>
                <c:pt idx="2">
                  <c:v>11/2025</c:v>
                </c:pt>
                <c:pt idx="3">
                  <c:v>12/2025</c:v>
                </c:pt>
                <c:pt idx="4">
                  <c:v>01/2026</c:v>
                </c:pt>
                <c:pt idx="5">
                  <c:v>02/2026</c:v>
                </c:pt>
                <c:pt idx="6">
                  <c:v>03/2026</c:v>
                </c:pt>
                <c:pt idx="7">
                  <c:v>04/2026</c:v>
                </c:pt>
                <c:pt idx="8">
                  <c:v>05/2026</c:v>
                </c:pt>
                <c:pt idx="9">
                  <c:v>06/2026</c:v>
                </c:pt>
                <c:pt idx="10">
                  <c:v>07/2026</c:v>
                </c:pt>
                <c:pt idx="11">
                  <c:v>08/2026</c:v>
                </c:pt>
              </c:strCache>
            </c:strRef>
          </c:cat>
          <c:val>
            <c:numRef>
              <c:f>'Dữ liệu'!$C$5:$C$16</c:f>
              <c:numCache>
                <c:formatCode>#,##0</c:formatCode>
                <c:ptCount val="12"/>
                <c:pt idx="0">
                  <c:v>1015</c:v>
                </c:pt>
                <c:pt idx="1">
                  <c:v>1054</c:v>
                </c:pt>
                <c:pt idx="2">
                  <c:v>1088</c:v>
                </c:pt>
                <c:pt idx="3">
                  <c:v>1201</c:v>
                </c:pt>
                <c:pt idx="4">
                  <c:v>1240</c:v>
                </c:pt>
                <c:pt idx="5">
                  <c:v>843</c:v>
                </c:pt>
                <c:pt idx="6">
                  <c:v>1120</c:v>
                </c:pt>
                <c:pt idx="7">
                  <c:v>1140</c:v>
                </c:pt>
                <c:pt idx="8">
                  <c:v>1150</c:v>
                </c:pt>
                <c:pt idx="9">
                  <c:v>1170</c:v>
                </c:pt>
                <c:pt idx="10">
                  <c:v>1178</c:v>
                </c:pt>
                <c:pt idx="11">
                  <c:v>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7-4392-A3C2-1377254BE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Tỷ lệ lỗi và tỷ lệ đúng hạn theo tháng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'Dữ liệu'!$I$4</c:f>
              <c:strCache>
                <c:ptCount val="1"/>
                <c:pt idx="0">
                  <c:v>Tỷ lệ đúng hạn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'Dữ liệu'!$A$5:$A$16</c:f>
              <c:strCache>
                <c:ptCount val="12"/>
                <c:pt idx="0">
                  <c:v>09/2025</c:v>
                </c:pt>
                <c:pt idx="1">
                  <c:v>10/2025</c:v>
                </c:pt>
                <c:pt idx="2">
                  <c:v>11/2025</c:v>
                </c:pt>
                <c:pt idx="3">
                  <c:v>12/2025</c:v>
                </c:pt>
                <c:pt idx="4">
                  <c:v>01/2026</c:v>
                </c:pt>
                <c:pt idx="5">
                  <c:v>02/2026</c:v>
                </c:pt>
                <c:pt idx="6">
                  <c:v>03/2026</c:v>
                </c:pt>
                <c:pt idx="7">
                  <c:v>04/2026</c:v>
                </c:pt>
                <c:pt idx="8">
                  <c:v>05/2026</c:v>
                </c:pt>
                <c:pt idx="9">
                  <c:v>06/2026</c:v>
                </c:pt>
                <c:pt idx="10">
                  <c:v>07/2026</c:v>
                </c:pt>
                <c:pt idx="11">
                  <c:v>08/2026</c:v>
                </c:pt>
              </c:strCache>
            </c:strRef>
          </c:cat>
          <c:val>
            <c:numRef>
              <c:f>'Dữ liệu'!$I$5:$I$16</c:f>
              <c:numCache>
                <c:formatCode>0.0%</c:formatCode>
                <c:ptCount val="12"/>
                <c:pt idx="0">
                  <c:v>0.86016949152542377</c:v>
                </c:pt>
                <c:pt idx="1">
                  <c:v>0.85</c:v>
                </c:pt>
                <c:pt idx="2">
                  <c:v>0.83053435114503815</c:v>
                </c:pt>
                <c:pt idx="3">
                  <c:v>0.79013157894736841</c:v>
                </c:pt>
                <c:pt idx="4">
                  <c:v>0.77018633540372672</c:v>
                </c:pt>
                <c:pt idx="5">
                  <c:v>0.86020408163265305</c:v>
                </c:pt>
                <c:pt idx="6">
                  <c:v>0.82962962962962961</c:v>
                </c:pt>
                <c:pt idx="7">
                  <c:v>0.82014388489208634</c:v>
                </c:pt>
                <c:pt idx="8">
                  <c:v>0.8098591549295775</c:v>
                </c:pt>
                <c:pt idx="9">
                  <c:v>0.79054054054054057</c:v>
                </c:pt>
                <c:pt idx="10">
                  <c:v>0.76993464052287586</c:v>
                </c:pt>
                <c:pt idx="11">
                  <c:v>0.75477707006369432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A3-4891-9346-E5A33F243F23}"/>
            </c:ext>
          </c:extLst>
        </c:ser>
        <c:ser>
          <c:idx val="1"/>
          <c:order val="1"/>
          <c:tx>
            <c:strRef>
              <c:f>'Dữ liệu'!$J$4</c:f>
              <c:strCache>
                <c:ptCount val="1"/>
                <c:pt idx="0">
                  <c:v>Tỷ lệ lỗi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'Dữ liệu'!$A$5:$A$16</c:f>
              <c:strCache>
                <c:ptCount val="12"/>
                <c:pt idx="0">
                  <c:v>09/2025</c:v>
                </c:pt>
                <c:pt idx="1">
                  <c:v>10/2025</c:v>
                </c:pt>
                <c:pt idx="2">
                  <c:v>11/2025</c:v>
                </c:pt>
                <c:pt idx="3">
                  <c:v>12/2025</c:v>
                </c:pt>
                <c:pt idx="4">
                  <c:v>01/2026</c:v>
                </c:pt>
                <c:pt idx="5">
                  <c:v>02/2026</c:v>
                </c:pt>
                <c:pt idx="6">
                  <c:v>03/2026</c:v>
                </c:pt>
                <c:pt idx="7">
                  <c:v>04/2026</c:v>
                </c:pt>
                <c:pt idx="8">
                  <c:v>05/2026</c:v>
                </c:pt>
                <c:pt idx="9">
                  <c:v>06/2026</c:v>
                </c:pt>
                <c:pt idx="10">
                  <c:v>07/2026</c:v>
                </c:pt>
                <c:pt idx="11">
                  <c:v>08/2026</c:v>
                </c:pt>
              </c:strCache>
            </c:strRef>
          </c:cat>
          <c:val>
            <c:numRef>
              <c:f>'Dữ liệu'!$J$5:$J$16</c:f>
              <c:numCache>
                <c:formatCode>0.0%</c:formatCode>
                <c:ptCount val="12"/>
                <c:pt idx="0">
                  <c:v>6.0169491525423731E-2</c:v>
                </c:pt>
                <c:pt idx="1">
                  <c:v>6.4516129032258063E-2</c:v>
                </c:pt>
                <c:pt idx="2">
                  <c:v>7.0229007633587789E-2</c:v>
                </c:pt>
                <c:pt idx="3">
                  <c:v>8.0263157894736842E-2</c:v>
                </c:pt>
                <c:pt idx="4">
                  <c:v>9.0062111801242239E-2</c:v>
                </c:pt>
                <c:pt idx="5">
                  <c:v>5.5102040816326532E-2</c:v>
                </c:pt>
                <c:pt idx="6">
                  <c:v>6.5185185185185179E-2</c:v>
                </c:pt>
                <c:pt idx="7">
                  <c:v>6.9784172661870508E-2</c:v>
                </c:pt>
                <c:pt idx="8">
                  <c:v>7.3943661971830985E-2</c:v>
                </c:pt>
                <c:pt idx="9">
                  <c:v>7.9729729729729734E-2</c:v>
                </c:pt>
                <c:pt idx="10">
                  <c:v>8.562091503267974E-2</c:v>
                </c:pt>
                <c:pt idx="11">
                  <c:v>9.0445859872611459E-2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A3-4891-9346-E5A33F24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Điểm có trọng số 3 phương án (thang 5)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'So sánh phương án'!$K$4</c:f>
              <c:strCache>
                <c:ptCount val="1"/>
                <c:pt idx="0">
                  <c:v>Điểm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 sánh phương án'!$J$5:$J$7</c:f>
              <c:strCache>
                <c:ptCount val="3"/>
                <c:pt idx="0">
                  <c:v>PA1</c:v>
                </c:pt>
                <c:pt idx="1">
                  <c:v>PA2</c:v>
                </c:pt>
                <c:pt idx="2">
                  <c:v>PA3</c:v>
                </c:pt>
              </c:strCache>
            </c:strRef>
          </c:cat>
          <c:val>
            <c:numRef>
              <c:f>'So sánh phương án'!$K$5:$K$7</c:f>
              <c:numCache>
                <c:formatCode>0.00</c:formatCode>
                <c:ptCount val="3"/>
                <c:pt idx="0">
                  <c:v>3.95</c:v>
                </c:pt>
                <c:pt idx="1">
                  <c:v>3.5</c:v>
                </c:pt>
                <c:pt idx="2">
                  <c:v>2.5499999999999998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B-463A-887B-7C093B470382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1" max="1" width="30" customWidth="1"/>
    <col min="2" max="2" width="110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/>
    </row>
    <row r="5" spans="1:2" x14ac:dyDescent="0.25">
      <c r="A5" s="5" t="s">
        <v>3</v>
      </c>
      <c r="B5" s="4" t="s">
        <v>4</v>
      </c>
    </row>
    <row r="6" spans="1:2" x14ac:dyDescent="0.25">
      <c r="A6" s="6" t="s">
        <v>5</v>
      </c>
      <c r="B6" s="4" t="s">
        <v>6</v>
      </c>
    </row>
    <row r="7" spans="1:2" x14ac:dyDescent="0.25">
      <c r="A7" s="7" t="s">
        <v>7</v>
      </c>
      <c r="B7" s="4" t="s">
        <v>8</v>
      </c>
    </row>
    <row r="8" spans="1:2" x14ac:dyDescent="0.25">
      <c r="A8" s="3"/>
      <c r="B8" s="4"/>
    </row>
    <row r="9" spans="1:2" x14ac:dyDescent="0.25">
      <c r="A9" s="3" t="s">
        <v>9</v>
      </c>
      <c r="B9" s="4"/>
    </row>
    <row r="10" spans="1:2" x14ac:dyDescent="0.25">
      <c r="A10" s="6" t="s">
        <v>10</v>
      </c>
      <c r="B10" s="4" t="s">
        <v>11</v>
      </c>
    </row>
    <row r="11" spans="1:2" x14ac:dyDescent="0.25">
      <c r="A11" s="6" t="s">
        <v>12</v>
      </c>
      <c r="B11" s="4" t="s">
        <v>13</v>
      </c>
    </row>
    <row r="12" spans="1:2" x14ac:dyDescent="0.25">
      <c r="A12" s="6" t="s">
        <v>14</v>
      </c>
      <c r="B12" s="4" t="s">
        <v>15</v>
      </c>
    </row>
    <row r="13" spans="1:2" x14ac:dyDescent="0.25">
      <c r="A13" s="6" t="s">
        <v>16</v>
      </c>
      <c r="B13" s="4" t="s">
        <v>17</v>
      </c>
    </row>
    <row r="14" spans="1:2" ht="28.5" x14ac:dyDescent="0.25">
      <c r="A14" s="6" t="s">
        <v>18</v>
      </c>
      <c r="B14" s="4" t="s">
        <v>19</v>
      </c>
    </row>
    <row r="15" spans="1:2" x14ac:dyDescent="0.25">
      <c r="A15" s="6" t="s">
        <v>20</v>
      </c>
      <c r="B15" s="4" t="s">
        <v>21</v>
      </c>
    </row>
    <row r="16" spans="1:2" x14ac:dyDescent="0.25">
      <c r="A16" s="3"/>
      <c r="B16" s="4"/>
    </row>
    <row r="17" spans="1:2" x14ac:dyDescent="0.25">
      <c r="A17" s="6" t="s">
        <v>22</v>
      </c>
      <c r="B17" s="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4" customWidth="1"/>
    <col min="4" max="4" width="16" customWidth="1"/>
    <col min="5" max="5" width="12" customWidth="1"/>
    <col min="6" max="6" width="11" customWidth="1"/>
    <col min="7" max="7" width="14" customWidth="1"/>
    <col min="8" max="8" width="16" customWidth="1"/>
    <col min="9" max="9" width="14" customWidth="1"/>
    <col min="10" max="10" width="12" customWidth="1"/>
    <col min="11" max="11" width="14" customWidth="1"/>
    <col min="12" max="12" width="16" customWidth="1"/>
  </cols>
  <sheetData>
    <row r="1" spans="1:12" ht="18" x14ac:dyDescent="0.25">
      <c r="A1" s="1" t="s">
        <v>24</v>
      </c>
    </row>
    <row r="3" spans="1:12" x14ac:dyDescent="0.25">
      <c r="A3" s="8" t="s">
        <v>25</v>
      </c>
    </row>
    <row r="4" spans="1:12" ht="30" x14ac:dyDescent="0.25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</row>
    <row r="5" spans="1:12" x14ac:dyDescent="0.25">
      <c r="A5" s="10" t="s">
        <v>38</v>
      </c>
      <c r="B5" s="11">
        <v>1180</v>
      </c>
      <c r="C5" s="11">
        <v>1015</v>
      </c>
      <c r="D5" s="12">
        <v>4.2</v>
      </c>
      <c r="E5" s="11">
        <v>71</v>
      </c>
      <c r="F5" s="11">
        <v>9</v>
      </c>
      <c r="G5" s="11">
        <v>2240</v>
      </c>
      <c r="H5" s="11">
        <v>168</v>
      </c>
      <c r="I5" s="13">
        <f t="shared" ref="I5:I17" si="0">IF(B5=0,0,C5/B5)</f>
        <v>0.86016949152542377</v>
      </c>
      <c r="J5" s="13">
        <f t="shared" ref="J5:J17" si="1">IF(B5=0,0,E5/B5)</f>
        <v>6.0169491525423731E-2</v>
      </c>
      <c r="K5" s="14">
        <f t="shared" ref="K5:K17" si="2">IF(B5=0,0,G5/B5)</f>
        <v>1.8983050847457628</v>
      </c>
      <c r="L5" s="15">
        <f t="shared" ref="L5:L17" si="3">IF(B5=0,0,H5/B5)</f>
        <v>0.14237288135593221</v>
      </c>
    </row>
    <row r="6" spans="1:12" x14ac:dyDescent="0.25">
      <c r="A6" s="10" t="s">
        <v>39</v>
      </c>
      <c r="B6" s="11">
        <v>1240</v>
      </c>
      <c r="C6" s="11">
        <v>1054</v>
      </c>
      <c r="D6" s="12">
        <v>4.4000000000000004</v>
      </c>
      <c r="E6" s="11">
        <v>80</v>
      </c>
      <c r="F6" s="11">
        <v>11</v>
      </c>
      <c r="G6" s="11">
        <v>2360</v>
      </c>
      <c r="H6" s="11">
        <v>176</v>
      </c>
      <c r="I6" s="13">
        <f t="shared" si="0"/>
        <v>0.85</v>
      </c>
      <c r="J6" s="13">
        <f t="shared" si="1"/>
        <v>6.4516129032258063E-2</v>
      </c>
      <c r="K6" s="14">
        <f t="shared" si="2"/>
        <v>1.903225806451613</v>
      </c>
      <c r="L6" s="15">
        <f t="shared" si="3"/>
        <v>0.14193548387096774</v>
      </c>
    </row>
    <row r="7" spans="1:12" x14ac:dyDescent="0.25">
      <c r="A7" s="10" t="s">
        <v>40</v>
      </c>
      <c r="B7" s="11">
        <v>1310</v>
      </c>
      <c r="C7" s="11">
        <v>1088</v>
      </c>
      <c r="D7" s="12">
        <v>4.7</v>
      </c>
      <c r="E7" s="11">
        <v>92</v>
      </c>
      <c r="F7" s="11">
        <v>13</v>
      </c>
      <c r="G7" s="11">
        <v>2510</v>
      </c>
      <c r="H7" s="11">
        <v>187</v>
      </c>
      <c r="I7" s="13">
        <f t="shared" si="0"/>
        <v>0.83053435114503815</v>
      </c>
      <c r="J7" s="13">
        <f t="shared" si="1"/>
        <v>7.0229007633587789E-2</v>
      </c>
      <c r="K7" s="14">
        <f t="shared" si="2"/>
        <v>1.916030534351145</v>
      </c>
      <c r="L7" s="15">
        <f t="shared" si="3"/>
        <v>0.14274809160305343</v>
      </c>
    </row>
    <row r="8" spans="1:12" x14ac:dyDescent="0.25">
      <c r="A8" s="10" t="s">
        <v>41</v>
      </c>
      <c r="B8" s="11">
        <v>1520</v>
      </c>
      <c r="C8" s="11">
        <v>1201</v>
      </c>
      <c r="D8" s="12">
        <v>5.3</v>
      </c>
      <c r="E8" s="11">
        <v>122</v>
      </c>
      <c r="F8" s="11">
        <v>18</v>
      </c>
      <c r="G8" s="11">
        <v>2980</v>
      </c>
      <c r="H8" s="11">
        <v>221</v>
      </c>
      <c r="I8" s="13">
        <f t="shared" si="0"/>
        <v>0.79013157894736841</v>
      </c>
      <c r="J8" s="13">
        <f t="shared" si="1"/>
        <v>8.0263157894736842E-2</v>
      </c>
      <c r="K8" s="14">
        <f t="shared" si="2"/>
        <v>1.9605263157894737</v>
      </c>
      <c r="L8" s="15">
        <f t="shared" si="3"/>
        <v>0.14539473684210527</v>
      </c>
    </row>
    <row r="9" spans="1:12" x14ac:dyDescent="0.25">
      <c r="A9" s="10" t="s">
        <v>42</v>
      </c>
      <c r="B9" s="11">
        <v>1610</v>
      </c>
      <c r="C9" s="11">
        <v>1240</v>
      </c>
      <c r="D9" s="12">
        <v>5.8</v>
      </c>
      <c r="E9" s="11">
        <v>145</v>
      </c>
      <c r="F9" s="11">
        <v>22</v>
      </c>
      <c r="G9" s="11">
        <v>3160</v>
      </c>
      <c r="H9" s="11">
        <v>236</v>
      </c>
      <c r="I9" s="13">
        <f t="shared" si="0"/>
        <v>0.77018633540372672</v>
      </c>
      <c r="J9" s="13">
        <f t="shared" si="1"/>
        <v>9.0062111801242239E-2</v>
      </c>
      <c r="K9" s="14">
        <f t="shared" si="2"/>
        <v>1.9627329192546583</v>
      </c>
      <c r="L9" s="15">
        <f t="shared" si="3"/>
        <v>0.14658385093167703</v>
      </c>
    </row>
    <row r="10" spans="1:12" x14ac:dyDescent="0.25">
      <c r="A10" s="10" t="s">
        <v>43</v>
      </c>
      <c r="B10" s="11">
        <v>980</v>
      </c>
      <c r="C10" s="11">
        <v>843</v>
      </c>
      <c r="D10" s="12">
        <v>4.0999999999999996</v>
      </c>
      <c r="E10" s="11">
        <v>54</v>
      </c>
      <c r="F10" s="11">
        <v>7</v>
      </c>
      <c r="G10" s="11">
        <v>1890</v>
      </c>
      <c r="H10" s="11">
        <v>141</v>
      </c>
      <c r="I10" s="13">
        <f t="shared" si="0"/>
        <v>0.86020408163265305</v>
      </c>
      <c r="J10" s="13">
        <f t="shared" si="1"/>
        <v>5.5102040816326532E-2</v>
      </c>
      <c r="K10" s="14">
        <f t="shared" si="2"/>
        <v>1.9285714285714286</v>
      </c>
      <c r="L10" s="15">
        <f t="shared" si="3"/>
        <v>0.14387755102040817</v>
      </c>
    </row>
    <row r="11" spans="1:12" x14ac:dyDescent="0.25">
      <c r="A11" s="10" t="s">
        <v>44</v>
      </c>
      <c r="B11" s="11">
        <v>1350</v>
      </c>
      <c r="C11" s="11">
        <v>1120</v>
      </c>
      <c r="D11" s="12">
        <v>4.5999999999999996</v>
      </c>
      <c r="E11" s="11">
        <v>88</v>
      </c>
      <c r="F11" s="11">
        <v>12</v>
      </c>
      <c r="G11" s="11">
        <v>2580</v>
      </c>
      <c r="H11" s="11">
        <v>193</v>
      </c>
      <c r="I11" s="13">
        <f t="shared" si="0"/>
        <v>0.82962962962962961</v>
      </c>
      <c r="J11" s="13">
        <f t="shared" si="1"/>
        <v>6.5185185185185179E-2</v>
      </c>
      <c r="K11" s="14">
        <f t="shared" si="2"/>
        <v>1.9111111111111112</v>
      </c>
      <c r="L11" s="15">
        <f t="shared" si="3"/>
        <v>0.14296296296296296</v>
      </c>
    </row>
    <row r="12" spans="1:12" x14ac:dyDescent="0.25">
      <c r="A12" s="10" t="s">
        <v>45</v>
      </c>
      <c r="B12" s="11">
        <v>1390</v>
      </c>
      <c r="C12" s="11">
        <v>1140</v>
      </c>
      <c r="D12" s="12">
        <v>4.8</v>
      </c>
      <c r="E12" s="11">
        <v>97</v>
      </c>
      <c r="F12" s="11">
        <v>14</v>
      </c>
      <c r="G12" s="11">
        <v>2660</v>
      </c>
      <c r="H12" s="11">
        <v>199</v>
      </c>
      <c r="I12" s="13">
        <f t="shared" si="0"/>
        <v>0.82014388489208634</v>
      </c>
      <c r="J12" s="13">
        <f t="shared" si="1"/>
        <v>6.9784172661870508E-2</v>
      </c>
      <c r="K12" s="14">
        <f t="shared" si="2"/>
        <v>1.9136690647482015</v>
      </c>
      <c r="L12" s="15">
        <f t="shared" si="3"/>
        <v>0.14316546762589927</v>
      </c>
    </row>
    <row r="13" spans="1:12" x14ac:dyDescent="0.25">
      <c r="A13" s="10" t="s">
        <v>46</v>
      </c>
      <c r="B13" s="11">
        <v>1420</v>
      </c>
      <c r="C13" s="11">
        <v>1150</v>
      </c>
      <c r="D13" s="12">
        <v>5</v>
      </c>
      <c r="E13" s="11">
        <v>105</v>
      </c>
      <c r="F13" s="11">
        <v>15</v>
      </c>
      <c r="G13" s="11">
        <v>2740</v>
      </c>
      <c r="H13" s="11">
        <v>205</v>
      </c>
      <c r="I13" s="13">
        <f t="shared" si="0"/>
        <v>0.8098591549295775</v>
      </c>
      <c r="J13" s="13">
        <f t="shared" si="1"/>
        <v>7.3943661971830985E-2</v>
      </c>
      <c r="K13" s="14">
        <f t="shared" si="2"/>
        <v>1.9295774647887325</v>
      </c>
      <c r="L13" s="15">
        <f t="shared" si="3"/>
        <v>0.14436619718309859</v>
      </c>
    </row>
    <row r="14" spans="1:12" x14ac:dyDescent="0.25">
      <c r="A14" s="10" t="s">
        <v>47</v>
      </c>
      <c r="B14" s="11">
        <v>1480</v>
      </c>
      <c r="C14" s="11">
        <v>1170</v>
      </c>
      <c r="D14" s="12">
        <v>5.4</v>
      </c>
      <c r="E14" s="11">
        <v>118</v>
      </c>
      <c r="F14" s="11">
        <v>17</v>
      </c>
      <c r="G14" s="11">
        <v>2870</v>
      </c>
      <c r="H14" s="11">
        <v>214</v>
      </c>
      <c r="I14" s="13">
        <f t="shared" si="0"/>
        <v>0.79054054054054057</v>
      </c>
      <c r="J14" s="13">
        <f t="shared" si="1"/>
        <v>7.9729729729729734E-2</v>
      </c>
      <c r="K14" s="14">
        <f t="shared" si="2"/>
        <v>1.9391891891891893</v>
      </c>
      <c r="L14" s="15">
        <f t="shared" si="3"/>
        <v>0.14459459459459459</v>
      </c>
    </row>
    <row r="15" spans="1:12" x14ac:dyDescent="0.25">
      <c r="A15" s="10" t="s">
        <v>48</v>
      </c>
      <c r="B15" s="11">
        <v>1530</v>
      </c>
      <c r="C15" s="11">
        <v>1178</v>
      </c>
      <c r="D15" s="12">
        <v>5.7</v>
      </c>
      <c r="E15" s="11">
        <v>131</v>
      </c>
      <c r="F15" s="11">
        <v>20</v>
      </c>
      <c r="G15" s="11">
        <v>2990</v>
      </c>
      <c r="H15" s="11">
        <v>224</v>
      </c>
      <c r="I15" s="13">
        <f t="shared" si="0"/>
        <v>0.76993464052287586</v>
      </c>
      <c r="J15" s="13">
        <f t="shared" si="1"/>
        <v>8.562091503267974E-2</v>
      </c>
      <c r="K15" s="14">
        <f t="shared" si="2"/>
        <v>1.9542483660130718</v>
      </c>
      <c r="L15" s="15">
        <f t="shared" si="3"/>
        <v>0.14640522875816994</v>
      </c>
    </row>
    <row r="16" spans="1:12" x14ac:dyDescent="0.25">
      <c r="A16" s="10" t="s">
        <v>49</v>
      </c>
      <c r="B16" s="11">
        <v>1570</v>
      </c>
      <c r="C16" s="11">
        <v>1185</v>
      </c>
      <c r="D16" s="12">
        <v>6</v>
      </c>
      <c r="E16" s="11">
        <v>142</v>
      </c>
      <c r="F16" s="11">
        <v>23</v>
      </c>
      <c r="G16" s="11">
        <v>3080</v>
      </c>
      <c r="H16" s="11">
        <v>231</v>
      </c>
      <c r="I16" s="13">
        <f t="shared" si="0"/>
        <v>0.75477707006369432</v>
      </c>
      <c r="J16" s="13">
        <f t="shared" si="1"/>
        <v>9.0445859872611459E-2</v>
      </c>
      <c r="K16" s="14">
        <f t="shared" si="2"/>
        <v>1.9617834394904459</v>
      </c>
      <c r="L16" s="15">
        <f t="shared" si="3"/>
        <v>0.14713375796178343</v>
      </c>
    </row>
    <row r="17" spans="1:12" x14ac:dyDescent="0.25">
      <c r="A17" s="3" t="s">
        <v>50</v>
      </c>
      <c r="B17" s="16">
        <f>SUM(B5:B16)</f>
        <v>16580</v>
      </c>
      <c r="C17" s="16">
        <f>SUM(C5:C16)</f>
        <v>13384</v>
      </c>
      <c r="D17" s="17">
        <f>SUMPRODUCT(B5:B16,D5:D16)/SUM(B5:B16)</f>
        <v>5.0721351025331725</v>
      </c>
      <c r="E17" s="16">
        <f>SUM(E5:E16)</f>
        <v>1245</v>
      </c>
      <c r="F17" s="16">
        <f>SUM(F5:F16)</f>
        <v>181</v>
      </c>
      <c r="G17" s="16">
        <f>SUM(G5:G16)</f>
        <v>32060</v>
      </c>
      <c r="H17" s="16">
        <f>SUM(H5:H16)</f>
        <v>2395</v>
      </c>
      <c r="I17" s="18">
        <f t="shared" si="0"/>
        <v>0.80723763570566953</v>
      </c>
      <c r="J17" s="18">
        <f t="shared" si="1"/>
        <v>7.5090470446320862E-2</v>
      </c>
      <c r="K17" s="19">
        <f t="shared" si="2"/>
        <v>1.9336550060313631</v>
      </c>
      <c r="L17" s="20">
        <f t="shared" si="3"/>
        <v>0.14445114595898673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RowHeight="15" x14ac:dyDescent="0.25"/>
  <cols>
    <col min="1" max="1" width="34" customWidth="1"/>
    <col min="2" max="2" width="40" customWidth="1"/>
    <col min="3" max="3" width="16" customWidth="1"/>
    <col min="4" max="4" width="15" customWidth="1"/>
    <col min="5" max="5" width="16" customWidth="1"/>
    <col min="6" max="6" width="15" customWidth="1"/>
    <col min="7" max="7" width="10" customWidth="1"/>
    <col min="8" max="8" width="18" customWidth="1"/>
    <col min="9" max="9" width="12" customWidth="1"/>
  </cols>
  <sheetData>
    <row r="1" spans="1:9" ht="18" x14ac:dyDescent="0.25">
      <c r="A1" s="1" t="s">
        <v>51</v>
      </c>
    </row>
    <row r="2" spans="1:9" x14ac:dyDescent="0.25">
      <c r="A2" s="2" t="s">
        <v>52</v>
      </c>
    </row>
    <row r="4" spans="1:9" ht="30" x14ac:dyDescent="0.25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  <c r="I4" s="9" t="s">
        <v>61</v>
      </c>
    </row>
    <row r="5" spans="1:9" x14ac:dyDescent="0.25">
      <c r="A5" s="21" t="s">
        <v>62</v>
      </c>
      <c r="B5" s="22" t="s">
        <v>63</v>
      </c>
      <c r="C5" s="23">
        <f>'Dữ liệu'!I17</f>
        <v>0.80723763570566953</v>
      </c>
      <c r="D5" s="23">
        <f>'Dữ liệu'!I16</f>
        <v>0.75477707006369432</v>
      </c>
      <c r="E5" s="24">
        <v>0.95</v>
      </c>
      <c r="F5" s="24">
        <v>0.85</v>
      </c>
      <c r="G5" s="25" t="s">
        <v>64</v>
      </c>
      <c r="H5" s="22" t="str">
        <f t="shared" ref="H5:H10" si="0">IF(G5="Tăng",IF(C5&gt;=E5,"Đạt mục tiêu",IF(C5&lt;F5,"CẢNH BÁO","Chưa đạt")),IF(C5&lt;=E5,"Đạt mục tiêu",IF(C5&gt;F5,"CẢNH BÁO","Chưa đạt")))</f>
        <v>CẢNH BÁO</v>
      </c>
      <c r="I5" s="26" t="s">
        <v>65</v>
      </c>
    </row>
    <row r="6" spans="1:9" x14ac:dyDescent="0.25">
      <c r="A6" s="21" t="s">
        <v>66</v>
      </c>
      <c r="B6" s="22" t="s">
        <v>67</v>
      </c>
      <c r="C6" s="27">
        <f>'Dữ liệu'!D17</f>
        <v>5.0721351025331725</v>
      </c>
      <c r="D6" s="27">
        <f>'Dữ liệu'!D16</f>
        <v>6</v>
      </c>
      <c r="E6" s="28">
        <v>3</v>
      </c>
      <c r="F6" s="28">
        <v>5</v>
      </c>
      <c r="G6" s="25" t="s">
        <v>68</v>
      </c>
      <c r="H6" s="22" t="str">
        <f t="shared" si="0"/>
        <v>CẢNH BÁO</v>
      </c>
      <c r="I6" s="26" t="s">
        <v>69</v>
      </c>
    </row>
    <row r="7" spans="1:9" x14ac:dyDescent="0.25">
      <c r="A7" s="21" t="s">
        <v>70</v>
      </c>
      <c r="B7" s="22" t="s">
        <v>71</v>
      </c>
      <c r="C7" s="23">
        <f>'Dữ liệu'!J17</f>
        <v>7.5090470446320862E-2</v>
      </c>
      <c r="D7" s="23">
        <f>'Dữ liệu'!J16</f>
        <v>9.0445859872611459E-2</v>
      </c>
      <c r="E7" s="24">
        <v>0.03</v>
      </c>
      <c r="F7" s="24">
        <v>0.08</v>
      </c>
      <c r="G7" s="25" t="s">
        <v>68</v>
      </c>
      <c r="H7" s="22" t="str">
        <f t="shared" si="0"/>
        <v>Chưa đạt</v>
      </c>
      <c r="I7" s="26" t="s">
        <v>65</v>
      </c>
    </row>
    <row r="8" spans="1:9" x14ac:dyDescent="0.25">
      <c r="A8" s="21" t="s">
        <v>72</v>
      </c>
      <c r="B8" s="22" t="s">
        <v>73</v>
      </c>
      <c r="C8" s="27">
        <f>IF('Dữ liệu'!B17=0,0,'Dữ liệu'!F17/'Dữ liệu'!B17*1000)</f>
        <v>10.9167671893848</v>
      </c>
      <c r="D8" s="27">
        <f>IF('Dữ liệu'!B16=0,0,'Dữ liệu'!F16/'Dữ liệu'!B16*1000)</f>
        <v>14.64968152866242</v>
      </c>
      <c r="E8" s="28">
        <v>5</v>
      </c>
      <c r="F8" s="28">
        <v>12</v>
      </c>
      <c r="G8" s="25" t="s">
        <v>68</v>
      </c>
      <c r="H8" s="22" t="str">
        <f t="shared" si="0"/>
        <v>Chưa đạt</v>
      </c>
      <c r="I8" s="26" t="s">
        <v>74</v>
      </c>
    </row>
    <row r="9" spans="1:9" x14ac:dyDescent="0.25">
      <c r="A9" s="21" t="s">
        <v>75</v>
      </c>
      <c r="B9" s="22" t="s">
        <v>76</v>
      </c>
      <c r="C9" s="29">
        <f>'Dữ liệu'!K17</f>
        <v>1.9336550060313631</v>
      </c>
      <c r="D9" s="29">
        <f>'Dữ liệu'!K16</f>
        <v>1.9617834394904459</v>
      </c>
      <c r="E9" s="30">
        <v>1.2</v>
      </c>
      <c r="F9" s="30">
        <v>2</v>
      </c>
      <c r="G9" s="25" t="s">
        <v>68</v>
      </c>
      <c r="H9" s="22" t="str">
        <f t="shared" si="0"/>
        <v>Chưa đạt</v>
      </c>
      <c r="I9" s="26" t="s">
        <v>77</v>
      </c>
    </row>
    <row r="10" spans="1:9" x14ac:dyDescent="0.25">
      <c r="A10" s="21" t="s">
        <v>78</v>
      </c>
      <c r="B10" s="22" t="s">
        <v>79</v>
      </c>
      <c r="C10" s="31">
        <f>'Dữ liệu'!L17</f>
        <v>0.14445114595898673</v>
      </c>
      <c r="D10" s="31">
        <f>'Dữ liệu'!L16</f>
        <v>0.14713375796178343</v>
      </c>
      <c r="E10" s="32">
        <v>0.1</v>
      </c>
      <c r="F10" s="32">
        <v>0.15</v>
      </c>
      <c r="G10" s="25" t="s">
        <v>68</v>
      </c>
      <c r="H10" s="22" t="str">
        <f t="shared" si="0"/>
        <v>Chưa đạt</v>
      </c>
      <c r="I10" s="26" t="s">
        <v>80</v>
      </c>
    </row>
    <row r="12" spans="1:9" x14ac:dyDescent="0.25">
      <c r="A12" s="2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/>
  </sheetViews>
  <sheetFormatPr defaultRowHeight="15" x14ac:dyDescent="0.25"/>
  <cols>
    <col min="1" max="1" width="30" customWidth="1"/>
    <col min="2" max="2" width="10" customWidth="1"/>
    <col min="3" max="3" width="14" customWidth="1"/>
    <col min="4" max="4" width="34" customWidth="1"/>
    <col min="5" max="5" width="14" customWidth="1"/>
    <col min="6" max="6" width="34" customWidth="1"/>
    <col min="7" max="7" width="14" customWidth="1"/>
    <col min="8" max="8" width="34" customWidth="1"/>
  </cols>
  <sheetData>
    <row r="1" spans="1:11" ht="18" x14ac:dyDescent="0.25">
      <c r="A1" s="1" t="s">
        <v>82</v>
      </c>
    </row>
    <row r="2" spans="1:11" x14ac:dyDescent="0.25">
      <c r="A2" s="2" t="s">
        <v>83</v>
      </c>
    </row>
    <row r="4" spans="1:11" ht="45" x14ac:dyDescent="0.25">
      <c r="A4" s="9" t="s">
        <v>84</v>
      </c>
      <c r="B4" s="9" t="s">
        <v>85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91</v>
      </c>
      <c r="J4" s="3" t="s">
        <v>92</v>
      </c>
      <c r="K4" s="3" t="s">
        <v>93</v>
      </c>
    </row>
    <row r="5" spans="1:11" ht="28.5" x14ac:dyDescent="0.25">
      <c r="A5" s="22" t="s">
        <v>94</v>
      </c>
      <c r="B5" s="33">
        <v>0.3</v>
      </c>
      <c r="C5" s="25">
        <v>2</v>
      </c>
      <c r="D5" s="22" t="s">
        <v>95</v>
      </c>
      <c r="E5" s="25">
        <v>4</v>
      </c>
      <c r="F5" s="22" t="s">
        <v>96</v>
      </c>
      <c r="G5" s="25">
        <v>5</v>
      </c>
      <c r="H5" s="22" t="s">
        <v>97</v>
      </c>
      <c r="J5" s="34" t="s">
        <v>98</v>
      </c>
      <c r="K5" s="35">
        <f>C11</f>
        <v>3.95</v>
      </c>
    </row>
    <row r="6" spans="1:11" x14ac:dyDescent="0.25">
      <c r="A6" s="22" t="s">
        <v>99</v>
      </c>
      <c r="B6" s="33">
        <v>0.2</v>
      </c>
      <c r="C6" s="25">
        <v>5</v>
      </c>
      <c r="D6" s="22" t="s">
        <v>100</v>
      </c>
      <c r="E6" s="25">
        <v>3</v>
      </c>
      <c r="F6" s="22" t="s">
        <v>101</v>
      </c>
      <c r="G6" s="25">
        <v>1</v>
      </c>
      <c r="H6" s="22" t="s">
        <v>102</v>
      </c>
      <c r="J6" s="34" t="s">
        <v>103</v>
      </c>
      <c r="K6" s="35">
        <f>E11</f>
        <v>3.5</v>
      </c>
    </row>
    <row r="7" spans="1:11" ht="28.5" x14ac:dyDescent="0.25">
      <c r="A7" s="22" t="s">
        <v>104</v>
      </c>
      <c r="B7" s="33">
        <v>0.2</v>
      </c>
      <c r="C7" s="25">
        <v>5</v>
      </c>
      <c r="D7" s="22" t="s">
        <v>105</v>
      </c>
      <c r="E7" s="25">
        <v>4</v>
      </c>
      <c r="F7" s="22" t="s">
        <v>106</v>
      </c>
      <c r="G7" s="25">
        <v>2</v>
      </c>
      <c r="H7" s="22" t="s">
        <v>107</v>
      </c>
      <c r="J7" s="34" t="s">
        <v>108</v>
      </c>
      <c r="K7" s="35">
        <f>G11</f>
        <v>2.5499999999999998</v>
      </c>
    </row>
    <row r="8" spans="1:11" ht="28.5" x14ac:dyDescent="0.25">
      <c r="A8" s="22" t="s">
        <v>109</v>
      </c>
      <c r="B8" s="33">
        <v>0.15</v>
      </c>
      <c r="C8" s="25">
        <v>4</v>
      </c>
      <c r="D8" s="22" t="s">
        <v>110</v>
      </c>
      <c r="E8" s="25">
        <v>3</v>
      </c>
      <c r="F8" s="22" t="s">
        <v>111</v>
      </c>
      <c r="G8" s="25">
        <v>2</v>
      </c>
      <c r="H8" s="22" t="s">
        <v>112</v>
      </c>
    </row>
    <row r="9" spans="1:11" x14ac:dyDescent="0.25">
      <c r="A9" s="22" t="s">
        <v>113</v>
      </c>
      <c r="B9" s="33">
        <v>0.15</v>
      </c>
      <c r="C9" s="25">
        <v>5</v>
      </c>
      <c r="D9" s="22" t="s">
        <v>114</v>
      </c>
      <c r="E9" s="25">
        <v>3</v>
      </c>
      <c r="F9" s="22" t="s">
        <v>115</v>
      </c>
      <c r="G9" s="25">
        <v>1</v>
      </c>
      <c r="H9" s="22" t="s">
        <v>116</v>
      </c>
    </row>
    <row r="10" spans="1:11" x14ac:dyDescent="0.25">
      <c r="A10" s="3" t="s">
        <v>117</v>
      </c>
      <c r="B10" s="36">
        <f>SUM(B5:B9)</f>
        <v>1</v>
      </c>
    </row>
    <row r="11" spans="1:11" x14ac:dyDescent="0.25">
      <c r="A11" s="37" t="s">
        <v>118</v>
      </c>
      <c r="C11" s="38">
        <f>SUMPRODUCT($B$5:$B$9,C5:C9)</f>
        <v>3.95</v>
      </c>
      <c r="E11" s="38">
        <f>SUMPRODUCT($B$5:$B$9,E5:E9)</f>
        <v>3.5</v>
      </c>
      <c r="G11" s="38">
        <f>SUMPRODUCT($B$5:$B$9,G5:G9)</f>
        <v>2.5499999999999998</v>
      </c>
    </row>
    <row r="12" spans="1:11" x14ac:dyDescent="0.25">
      <c r="A12" s="3" t="s">
        <v>119</v>
      </c>
      <c r="C12" s="39">
        <f>RANK(K5,$K$5:$K$7)</f>
        <v>1</v>
      </c>
      <c r="E12" s="39">
        <f>RANK(K6,$K$5:$K$7)</f>
        <v>2</v>
      </c>
      <c r="G12" s="39">
        <f>RANK(K7,$K$5:$K$7)</f>
        <v>3</v>
      </c>
    </row>
    <row r="13" spans="1:11" x14ac:dyDescent="0.25">
      <c r="A13" s="34" t="s">
        <v>120</v>
      </c>
      <c r="B13" s="40" t="str">
        <f>IF(ABS(B10-1)&lt;0.001,"OK","SAI: trọng số không bằng 100%")</f>
        <v>OK</v>
      </c>
    </row>
    <row r="15" spans="1:11" x14ac:dyDescent="0.25">
      <c r="A15" s="3" t="s">
        <v>121</v>
      </c>
    </row>
    <row r="16" spans="1:11" x14ac:dyDescent="0.25">
      <c r="A16" s="41" t="s">
        <v>122</v>
      </c>
    </row>
    <row r="17" spans="1:1" x14ac:dyDescent="0.25">
      <c r="A17" s="41" t="s">
        <v>123</v>
      </c>
    </row>
    <row r="18" spans="1:1" x14ac:dyDescent="0.25">
      <c r="A18" s="41" t="s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cols>
    <col min="1" max="1" width="32" customWidth="1"/>
    <col min="2" max="2" width="13" customWidth="1"/>
    <col min="3" max="8" width="14" customWidth="1"/>
  </cols>
  <sheetData>
    <row r="1" spans="1:8" ht="18" x14ac:dyDescent="0.25">
      <c r="A1" s="1" t="s">
        <v>125</v>
      </c>
    </row>
    <row r="2" spans="1:8" x14ac:dyDescent="0.25">
      <c r="A2" s="2" t="s">
        <v>126</v>
      </c>
    </row>
    <row r="4" spans="1:8" ht="30" x14ac:dyDescent="0.25">
      <c r="A4" s="9" t="s">
        <v>53</v>
      </c>
      <c r="B4" s="9" t="s">
        <v>127</v>
      </c>
      <c r="C4" s="9" t="s">
        <v>128</v>
      </c>
      <c r="D4" s="9" t="s">
        <v>129</v>
      </c>
      <c r="E4" s="9" t="s">
        <v>130</v>
      </c>
      <c r="F4" s="9" t="s">
        <v>131</v>
      </c>
      <c r="G4" s="9" t="s">
        <v>132</v>
      </c>
      <c r="H4" s="9" t="s">
        <v>133</v>
      </c>
    </row>
    <row r="5" spans="1:8" x14ac:dyDescent="0.25">
      <c r="A5" s="3" t="s">
        <v>134</v>
      </c>
    </row>
    <row r="6" spans="1:8" x14ac:dyDescent="0.25">
      <c r="A6" s="6" t="s">
        <v>34</v>
      </c>
      <c r="B6" s="42">
        <f>KPI!C5</f>
        <v>0.80723763570566953</v>
      </c>
      <c r="C6" s="43">
        <v>0.03</v>
      </c>
      <c r="D6" s="43">
        <v>0.06</v>
      </c>
      <c r="E6" s="43">
        <v>0.06</v>
      </c>
      <c r="F6" s="43">
        <v>0.1</v>
      </c>
      <c r="G6" s="43">
        <v>0.08</v>
      </c>
      <c r="H6" s="43">
        <v>0.12</v>
      </c>
    </row>
    <row r="7" spans="1:8" x14ac:dyDescent="0.25">
      <c r="A7" s="6" t="s">
        <v>29</v>
      </c>
      <c r="B7" s="44">
        <f>KPI!C6</f>
        <v>5.0721351025331725</v>
      </c>
      <c r="C7" s="43">
        <v>-0.1</v>
      </c>
      <c r="D7" s="43">
        <v>-0.2</v>
      </c>
      <c r="E7" s="43">
        <v>-0.2</v>
      </c>
      <c r="F7" s="43">
        <v>-0.35</v>
      </c>
      <c r="G7" s="43">
        <v>-0.3</v>
      </c>
      <c r="H7" s="43">
        <v>-0.45</v>
      </c>
    </row>
    <row r="8" spans="1:8" x14ac:dyDescent="0.25">
      <c r="A8" s="6" t="s">
        <v>35</v>
      </c>
      <c r="B8" s="42">
        <f>KPI!C7</f>
        <v>7.5090470446320862E-2</v>
      </c>
      <c r="C8" s="43">
        <v>-0.1</v>
      </c>
      <c r="D8" s="43">
        <v>-0.2</v>
      </c>
      <c r="E8" s="43">
        <v>-0.25</v>
      </c>
      <c r="F8" s="43">
        <v>-0.4</v>
      </c>
      <c r="G8" s="43">
        <v>-0.35</v>
      </c>
      <c r="H8" s="43">
        <v>-0.55000000000000004</v>
      </c>
    </row>
    <row r="9" spans="1:8" x14ac:dyDescent="0.25">
      <c r="A9" s="6" t="s">
        <v>36</v>
      </c>
      <c r="B9" s="45">
        <f>KPI!C9</f>
        <v>1.9336550060313631</v>
      </c>
      <c r="C9" s="43">
        <v>-0.05</v>
      </c>
      <c r="D9" s="43">
        <v>-0.15</v>
      </c>
      <c r="E9" s="43">
        <v>-0.15</v>
      </c>
      <c r="F9" s="43">
        <v>-0.3</v>
      </c>
      <c r="G9" s="43">
        <v>-0.25</v>
      </c>
      <c r="H9" s="43">
        <v>-0.4</v>
      </c>
    </row>
    <row r="11" spans="1:8" x14ac:dyDescent="0.25">
      <c r="A11" s="37" t="s">
        <v>135</v>
      </c>
    </row>
    <row r="12" spans="1:8" x14ac:dyDescent="0.25">
      <c r="A12" s="3" t="s">
        <v>34</v>
      </c>
      <c r="B12" s="42">
        <f>B6</f>
        <v>0.80723763570566953</v>
      </c>
      <c r="C12" s="42">
        <f t="shared" ref="C12:H15" si="0">$B6*(1+C6)</f>
        <v>0.83145476477683966</v>
      </c>
      <c r="D12" s="42">
        <f t="shared" si="0"/>
        <v>0.85567189384800979</v>
      </c>
      <c r="E12" s="42">
        <f t="shared" si="0"/>
        <v>0.85567189384800979</v>
      </c>
      <c r="F12" s="42">
        <f t="shared" si="0"/>
        <v>0.88796139927623652</v>
      </c>
      <c r="G12" s="42">
        <f t="shared" si="0"/>
        <v>0.8718166465621231</v>
      </c>
      <c r="H12" s="42">
        <f t="shared" si="0"/>
        <v>0.90410615199034994</v>
      </c>
    </row>
    <row r="13" spans="1:8" x14ac:dyDescent="0.25">
      <c r="A13" s="3" t="s">
        <v>29</v>
      </c>
      <c r="B13" s="44">
        <f>B7</f>
        <v>5.0721351025331725</v>
      </c>
      <c r="C13" s="44">
        <f t="shared" si="0"/>
        <v>4.5649215922798554</v>
      </c>
      <c r="D13" s="44">
        <f t="shared" si="0"/>
        <v>4.0577080820265383</v>
      </c>
      <c r="E13" s="44">
        <f t="shared" si="0"/>
        <v>4.0577080820265383</v>
      </c>
      <c r="F13" s="44">
        <f t="shared" si="0"/>
        <v>3.2968878166465623</v>
      </c>
      <c r="G13" s="44">
        <f t="shared" si="0"/>
        <v>3.5504945717732204</v>
      </c>
      <c r="H13" s="44">
        <f t="shared" si="0"/>
        <v>2.7896743063932452</v>
      </c>
    </row>
    <row r="14" spans="1:8" x14ac:dyDescent="0.25">
      <c r="A14" s="3" t="s">
        <v>35</v>
      </c>
      <c r="B14" s="42">
        <f>B8</f>
        <v>7.5090470446320862E-2</v>
      </c>
      <c r="C14" s="42">
        <f t="shared" si="0"/>
        <v>6.7581423401688781E-2</v>
      </c>
      <c r="D14" s="42">
        <f t="shared" si="0"/>
        <v>6.0072376357056693E-2</v>
      </c>
      <c r="E14" s="42">
        <f t="shared" si="0"/>
        <v>5.6317852834740646E-2</v>
      </c>
      <c r="F14" s="42">
        <f t="shared" si="0"/>
        <v>4.5054282267792518E-2</v>
      </c>
      <c r="G14" s="42">
        <f t="shared" si="0"/>
        <v>4.8808805790108559E-2</v>
      </c>
      <c r="H14" s="42">
        <f t="shared" si="0"/>
        <v>3.3790711700844384E-2</v>
      </c>
    </row>
    <row r="15" spans="1:8" x14ac:dyDescent="0.25">
      <c r="A15" s="3" t="s">
        <v>36</v>
      </c>
      <c r="B15" s="45">
        <f>B9</f>
        <v>1.9336550060313631</v>
      </c>
      <c r="C15" s="45">
        <f t="shared" si="0"/>
        <v>1.8369722557297949</v>
      </c>
      <c r="D15" s="45">
        <f t="shared" si="0"/>
        <v>1.6436067551266587</v>
      </c>
      <c r="E15" s="45">
        <f t="shared" si="0"/>
        <v>1.6436067551266587</v>
      </c>
      <c r="F15" s="45">
        <f t="shared" si="0"/>
        <v>1.353558504221954</v>
      </c>
      <c r="G15" s="45">
        <f t="shared" si="0"/>
        <v>1.4502412545235224</v>
      </c>
      <c r="H15" s="45">
        <f t="shared" si="0"/>
        <v>1.1601930036188177</v>
      </c>
    </row>
    <row r="17" spans="1:1" x14ac:dyDescent="0.25">
      <c r="A17" s="2" t="s">
        <v>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workbookViewId="0"/>
  </sheetViews>
  <sheetFormatPr defaultRowHeight="15" x14ac:dyDescent="0.25"/>
  <cols>
    <col min="1" max="12" width="11" customWidth="1"/>
  </cols>
  <sheetData>
    <row r="1" spans="1:12" ht="18" x14ac:dyDescent="0.25">
      <c r="A1" s="1" t="s">
        <v>137</v>
      </c>
    </row>
    <row r="2" spans="1:12" x14ac:dyDescent="0.25">
      <c r="A2" s="2" t="s">
        <v>138</v>
      </c>
    </row>
    <row r="4" spans="1:12" x14ac:dyDescent="0.25">
      <c r="A4" s="51" t="s">
        <v>34</v>
      </c>
      <c r="B4" s="47"/>
      <c r="C4" s="51" t="s">
        <v>139</v>
      </c>
      <c r="D4" s="47"/>
      <c r="E4" s="51" t="s">
        <v>35</v>
      </c>
      <c r="F4" s="47"/>
      <c r="G4" s="51" t="s">
        <v>140</v>
      </c>
      <c r="H4" s="47"/>
      <c r="I4" s="51" t="s">
        <v>141</v>
      </c>
      <c r="J4" s="47"/>
      <c r="K4" s="51" t="s">
        <v>142</v>
      </c>
      <c r="L4" s="47"/>
    </row>
    <row r="5" spans="1:12" ht="30" customHeight="1" x14ac:dyDescent="0.25">
      <c r="A5" s="49">
        <f>KPI!C5</f>
        <v>0.80723763570566953</v>
      </c>
      <c r="B5" s="47"/>
      <c r="C5" s="48">
        <f>KPI!C6</f>
        <v>5.0721351025331725</v>
      </c>
      <c r="D5" s="47"/>
      <c r="E5" s="49">
        <f>KPI!C7</f>
        <v>7.5090470446320862E-2</v>
      </c>
      <c r="F5" s="47"/>
      <c r="G5" s="48">
        <f>KPI!C8</f>
        <v>10.9167671893848</v>
      </c>
      <c r="H5" s="47"/>
      <c r="I5" s="52">
        <f>KPI!C9</f>
        <v>1.9336550060313631</v>
      </c>
      <c r="J5" s="47"/>
      <c r="K5" s="50">
        <f>KPI!C10</f>
        <v>0.14445114595898673</v>
      </c>
      <c r="L5" s="47"/>
    </row>
    <row r="6" spans="1:12" x14ac:dyDescent="0.25">
      <c r="A6" s="46" t="str">
        <f>KPI!H5</f>
        <v>CẢNH BÁO</v>
      </c>
      <c r="B6" s="47"/>
      <c r="C6" s="46" t="str">
        <f>KPI!H6</f>
        <v>CẢNH BÁO</v>
      </c>
      <c r="D6" s="47"/>
      <c r="E6" s="46" t="str">
        <f>KPI!H7</f>
        <v>Chưa đạt</v>
      </c>
      <c r="F6" s="47"/>
      <c r="G6" s="46" t="str">
        <f>KPI!H8</f>
        <v>Chưa đạt</v>
      </c>
      <c r="H6" s="47"/>
      <c r="I6" s="46" t="str">
        <f>KPI!H9</f>
        <v>Chưa đạt</v>
      </c>
      <c r="J6" s="47"/>
      <c r="K6" s="46" t="str">
        <f>KPI!H10</f>
        <v>Chưa đạt</v>
      </c>
      <c r="L6" s="47"/>
    </row>
    <row r="40" spans="1:12" x14ac:dyDescent="0.25">
      <c r="A40" s="3" t="s">
        <v>143</v>
      </c>
    </row>
    <row r="41" spans="1:12" x14ac:dyDescent="0.25">
      <c r="A41" s="53" t="s">
        <v>144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</row>
    <row r="42" spans="1:12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</row>
    <row r="43" spans="1:12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</row>
    <row r="44" spans="1:1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</row>
  </sheetData>
  <mergeCells count="19">
    <mergeCell ref="A41:L44"/>
    <mergeCell ref="I4:J4"/>
    <mergeCell ref="K6:L6"/>
    <mergeCell ref="K4:L4"/>
    <mergeCell ref="A6:B6"/>
    <mergeCell ref="C4:D4"/>
    <mergeCell ref="E4:F4"/>
    <mergeCell ref="G6:H6"/>
    <mergeCell ref="E6:F6"/>
    <mergeCell ref="A5:B5"/>
    <mergeCell ref="G5:H5"/>
    <mergeCell ref="I5:J5"/>
    <mergeCell ref="A4:B4"/>
    <mergeCell ref="G4:H4"/>
    <mergeCell ref="C6:D6"/>
    <mergeCell ref="I6:J6"/>
    <mergeCell ref="C5:D5"/>
    <mergeCell ref="E5:F5"/>
    <mergeCell ref="K5:L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/>
  </sheetViews>
  <sheetFormatPr defaultRowHeight="15" x14ac:dyDescent="0.25"/>
  <cols>
    <col min="1" max="1" width="30" customWidth="1"/>
    <col min="2" max="2" width="14" customWidth="1"/>
    <col min="3" max="3" width="16" customWidth="1"/>
    <col min="4" max="4" width="40" customWidth="1"/>
    <col min="5" max="5" width="44" customWidth="1"/>
    <col min="6" max="6" width="26" customWidth="1"/>
  </cols>
  <sheetData>
    <row r="1" spans="1:6" ht="18" x14ac:dyDescent="0.25">
      <c r="A1" s="1" t="s">
        <v>145</v>
      </c>
    </row>
    <row r="2" spans="1:6" x14ac:dyDescent="0.25">
      <c r="A2" s="2" t="s">
        <v>146</v>
      </c>
    </row>
    <row r="4" spans="1:6" ht="30" x14ac:dyDescent="0.25">
      <c r="A4" s="9" t="s">
        <v>53</v>
      </c>
      <c r="B4" s="9" t="s">
        <v>147</v>
      </c>
      <c r="C4" s="9" t="s">
        <v>148</v>
      </c>
      <c r="D4" s="9" t="s">
        <v>149</v>
      </c>
      <c r="E4" s="9" t="s">
        <v>150</v>
      </c>
      <c r="F4" s="9" t="s">
        <v>151</v>
      </c>
    </row>
    <row r="5" spans="1:6" ht="60" customHeight="1" x14ac:dyDescent="0.25">
      <c r="A5" s="22" t="str">
        <f>KPI!A5</f>
        <v>Tỷ lệ hồ sơ xử lý đúng hạn</v>
      </c>
      <c r="B5" s="23">
        <f>KPI!C5</f>
        <v>0.80723763570566953</v>
      </c>
      <c r="C5" s="22" t="str">
        <f>KPI!H5</f>
        <v>CẢNH BÁO</v>
      </c>
      <c r="D5" s="22" t="s">
        <v>152</v>
      </c>
      <c r="E5" s="22" t="s">
        <v>153</v>
      </c>
      <c r="F5" s="22" t="s">
        <v>154</v>
      </c>
    </row>
    <row r="6" spans="1:6" ht="60" customHeight="1" x14ac:dyDescent="0.25">
      <c r="A6" s="22" t="str">
        <f>KPI!A6</f>
        <v>Thời gian xử lý trung bình</v>
      </c>
      <c r="B6" s="27">
        <f>KPI!C6</f>
        <v>5.0721351025331725</v>
      </c>
      <c r="C6" s="22" t="str">
        <f>KPI!H6</f>
        <v>CẢNH BÁO</v>
      </c>
      <c r="D6" s="22" t="s">
        <v>155</v>
      </c>
      <c r="E6" s="22" t="s">
        <v>156</v>
      </c>
      <c r="F6" s="22" t="s">
        <v>154</v>
      </c>
    </row>
    <row r="7" spans="1:6" ht="60" customHeight="1" x14ac:dyDescent="0.25">
      <c r="A7" s="22" t="str">
        <f>KPI!A7</f>
        <v>Tỷ lệ hồ sơ lỗi / trả lại</v>
      </c>
      <c r="B7" s="23">
        <f>KPI!C7</f>
        <v>7.5090470446320862E-2</v>
      </c>
      <c r="C7" s="22" t="str">
        <f>KPI!H7</f>
        <v>Chưa đạt</v>
      </c>
      <c r="D7" s="22" t="s">
        <v>157</v>
      </c>
      <c r="E7" s="22" t="s">
        <v>158</v>
      </c>
      <c r="F7" s="22" t="s">
        <v>159</v>
      </c>
    </row>
    <row r="8" spans="1:6" ht="60" customHeight="1" x14ac:dyDescent="0.25">
      <c r="A8" s="22" t="str">
        <f>KPI!A8</f>
        <v>Khiếu nại trên 1.000 hồ sơ</v>
      </c>
      <c r="B8" s="27">
        <f>KPI!C8</f>
        <v>10.9167671893848</v>
      </c>
      <c r="C8" s="22" t="str">
        <f>KPI!H8</f>
        <v>Chưa đạt</v>
      </c>
      <c r="D8" s="22" t="s">
        <v>160</v>
      </c>
      <c r="E8" s="22" t="s">
        <v>161</v>
      </c>
      <c r="F8" s="22" t="s">
        <v>162</v>
      </c>
    </row>
    <row r="9" spans="1:6" ht="60" customHeight="1" x14ac:dyDescent="0.25">
      <c r="A9" s="22" t="str">
        <f>KPI!A9</f>
        <v>Giờ công cán bộ trên 1 hồ sơ</v>
      </c>
      <c r="B9" s="29">
        <f>KPI!C9</f>
        <v>1.9336550060313631</v>
      </c>
      <c r="C9" s="22" t="str">
        <f>KPI!H9</f>
        <v>Chưa đạt</v>
      </c>
      <c r="D9" s="22" t="s">
        <v>163</v>
      </c>
      <c r="E9" s="22" t="s">
        <v>164</v>
      </c>
      <c r="F9" s="22" t="s">
        <v>165</v>
      </c>
    </row>
    <row r="10" spans="1:6" ht="60" customHeight="1" x14ac:dyDescent="0.25">
      <c r="A10" s="22" t="str">
        <f>KPI!A10</f>
        <v>Chi phí xử lý 1 hồ sơ</v>
      </c>
      <c r="B10" s="31">
        <f>KPI!C10</f>
        <v>0.14445114595898673</v>
      </c>
      <c r="C10" s="22" t="str">
        <f>KPI!H10</f>
        <v>Chưa đạt</v>
      </c>
      <c r="D10" s="22" t="s">
        <v>166</v>
      </c>
      <c r="E10" s="22" t="s">
        <v>167</v>
      </c>
      <c r="F10" s="22" t="s">
        <v>168</v>
      </c>
    </row>
    <row r="12" spans="1:6" x14ac:dyDescent="0.25">
      <c r="A12" s="2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Hướng dẫn</vt:lpstr>
      <vt:lpstr>Dữ liệu</vt:lpstr>
      <vt:lpstr>KPI</vt:lpstr>
      <vt:lpstr>So sánh phương án</vt:lpstr>
      <vt:lpstr>Kịch bản</vt:lpstr>
      <vt:lpstr>Dashboard</vt:lpstr>
      <vt:lpstr>Ý nghĩa quản trị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2026-09-09T03:27:09Z</dcterms:created>
  <dcterms:modified xsi:type="dcterms:W3CDTF">2026-09-09T03:34:24Z</dcterms:modified>
</cp:coreProperties>
</file>